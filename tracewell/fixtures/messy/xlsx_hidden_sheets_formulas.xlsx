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1" activeTab="1"/>
  </bookViews>
  <sheets>
    <sheet name="Config" sheetId="1" state="hidden" r:id="rId3"/>
    <sheet name="Production" sheetId="2" state="visible" r:id="rId4"/>
    <sheet name="Notes" sheetId="3" state="very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<sst xmlns="http://schemas.openxmlformats.org/spreadsheetml/2006/main" count="21" uniqueCount="13">
  <si>
    <t xml:space="preserve">Setting</t>
  </si>
  <si>
    <t xml:space="preserve">Value</t>
  </si>
  <si>
    <t xml:space="preserve">Percent factor</t>
  </si>
  <si>
    <t xml:space="preserve">Well ID</t>
  </si>
  <si>
    <t xml:space="preserve">Date</t>
  </si>
  <si>
    <t xml:space="preserve">Oil (bbl/d)</t>
  </si>
  <si>
    <t xml:space="preserve">Water (bbl/d)</t>
  </si>
  <si>
    <t xml:space="preserve">Liquid (bbl/d)</t>
  </si>
  <si>
    <t xml:space="preserve">Water cut (%)</t>
  </si>
  <si>
    <t xml:space="preserve">NS-E01</t>
  </si>
  <si>
    <t xml:space="preserve">NS-E02</t>
  </si>
  <si>
    <t xml:space="preserve">Internal notes</t>
  </si>
  <si>
    <t xml:space="preserve">Water cut uses the percent factor on the Config sheet.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</si>
</sst>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 customFormat="false" ht="15" hidden="false" customHeight="false" outlineLevel="0" collapsed="false">
      <c r="A2" s="0" t="s">
        <v>9</v>
      </c>
      <c r="B2" s="1" t="n">
        <v>46083</v>
      </c>
      <c r="C2" s="0" t="n">
        <v>1205.3</v>
      </c>
      <c r="D2" s="0" t="n">
        <v>312.4</v>
      </c>
      <c r="E2" s="2" t="n">
        <f aca="false">IF(COUNT(C2:D2)=2,C2+D2,"")</f>
        <v>1517.7</v>
      </c>
      <c r="F2" s="2" t="n">
        <f aca="false">D2/(C2+D2)*Config!$B$2</f>
        <v>20.5837780852606</v>
      </c>
    </row>
    <row r="3" customFormat="false" ht="15" hidden="false" customHeight="false" outlineLevel="0" collapsed="false">
      <c r="A3" s="0" t="s">
        <v>10</v>
      </c>
      <c r="B3" s="1" t="n">
        <v>46083</v>
      </c>
      <c r="C3" s="0" t="n">
        <v>846.2</v>
      </c>
      <c r="D3" s="0" t="n">
        <v>205.6</v>
      </c>
      <c r="E3" s="2" t="n">
        <f aca="false">IF(COUNT(C3:D3)=2,C3+D3,"")</f>
        <v>1051.8</v>
      </c>
      <c r="F3" s="2" t="n">
        <f aca="false">D3/(C3+D3)*Config!$B$2</f>
        <v>19.5474424795589</v>
      </c>
    </row>
    <row r="4" customFormat="false" ht="15" hidden="false" customHeight="false" outlineLevel="0" collapsed="false">
      <c r="A4" s="0" t="s">
        <v>9</v>
      </c>
      <c r="B4" s="1" t="n">
        <v>46084</v>
      </c>
      <c r="C4" s="0" t="n">
        <v>1201.8</v>
      </c>
      <c r="D4" s="0" t="n">
        <v>314</v>
      </c>
      <c r="E4" s="2" t="n">
        <f aca="false">IF(COUNT(C4:D4)=2,C4+D4,"")</f>
        <v>1515.8</v>
      </c>
      <c r="F4" s="2" t="n">
        <f aca="false">D4/(C4+D4)*Config!$B$2</f>
        <v>20.7151339226811</v>
      </c>
    </row>
    <row r="5" customFormat="false" ht="15" hidden="false" customHeight="false" outlineLevel="0" collapsed="false">
      <c r="A5" s="0" t="s">
        <v>10</v>
      </c>
      <c r="B5" s="1" t="n">
        <v>46084</v>
      </c>
      <c r="C5" s="0" t="n">
        <v>843</v>
      </c>
      <c r="D5" s="0" t="n">
        <v>206.9</v>
      </c>
      <c r="E5" s="2" t="n">
        <f aca="false">IF(COUNT(C5:D5)=2,C5+D5,"")</f>
        <v>1049.9</v>
      </c>
      <c r="F5" s="2" t="n">
        <f aca="false">D5/(C5+D5)*Config!$B$2</f>
        <v>19.7066387274979</v>
      </c>
    </row>
    <row r="6" customFormat="false" ht="15" hidden="false" customHeight="false" outlineLevel="0" collapsed="false">
      <c r="A6" s="0" t="s">
        <v>9</v>
      </c>
      <c r="B6" s="1" t="n">
        <v>46085</v>
      </c>
      <c r="C6" s="0" t="n">
        <v>1198.6</v>
      </c>
      <c r="D6" s="0" t="n">
        <v>315.7</v>
      </c>
      <c r="E6" s="2" t="n">
        <f aca="false">IF(COUNT(C6:D6)=2,C6+D6,"")</f>
        <v>1514.3</v>
      </c>
      <c r="F6" s="2" t="n">
        <f aca="false">D6/(C6+D6)*Config!$B$2</f>
        <v>20.8479165290893</v>
      </c>
    </row>
    <row r="7" customFormat="false" ht="15" hidden="false" customHeight="false" outlineLevel="0" collapsed="false">
      <c r="A7" s="0" t="s">
        <v>10</v>
      </c>
      <c r="B7" s="1" t="n">
        <v>46085</v>
      </c>
      <c r="E7" s="0" t="str">
        <f aca="false">IF(COUNT(C7:D7)=2,C7+D7,"")</f>
        <v/>
      </c>
      <c r="F7" s="2" t="e">
        <f aca="false">D7/(C7+D7)*Config!$B$2</f>
        <v>#DIV/0!</v>
      </c>
    </row>
    <row r="8" customFormat="false" ht="15" hidden="false" customHeight="false" outlineLevel="0" collapsed="false">
      <c r="A8" s="0" t="s">
        <v>9</v>
      </c>
      <c r="B8" s="1" t="n">
        <v>46086</v>
      </c>
      <c r="C8" s="0" t="n">
        <v>1195.1</v>
      </c>
      <c r="D8" s="0" t="n">
        <v>317.2</v>
      </c>
      <c r="E8" s="2" t="n">
        <f aca="false">IF(COUNT(C8:D8)=2,C8+D8,"")</f>
        <v>1512.3</v>
      </c>
      <c r="F8" s="2" t="n">
        <f aca="false">D8/(C8+D8)*Config!$B$2</f>
        <v>20.9746743371024</v>
      </c>
    </row>
    <row r="9" customFormat="false" ht="15" hidden="false" customHeight="false" outlineLevel="0" collapsed="false">
      <c r="A9" s="0" t="s">
        <v>10</v>
      </c>
      <c r="B9" s="1" t="n">
        <v>46086</v>
      </c>
      <c r="C9" s="0" t="n">
        <v>838.1</v>
      </c>
      <c r="D9" s="0" t="n">
        <v>209.8</v>
      </c>
      <c r="E9" s="2" t="n">
        <f aca="false">IF(COUNT(C9:D9)=2,C9+D9,"")</f>
        <v>1047.9</v>
      </c>
      <c r="F9" s="2" t="n">
        <f aca="false">D9/(C9+D9)*Config!$B$2</f>
        <v>20.0209943696918</v>
      </c>
    </row>
    <row r="10" customFormat="false" ht="15" hidden="false" customHeight="false" outlineLevel="0" collapsed="false">
      <c r="A10" s="0" t="s">
        <v>9</v>
      </c>
      <c r="B10" s="1" t="n">
        <v>46087</v>
      </c>
      <c r="C10" s="0" t="n">
        <v>1191.9</v>
      </c>
      <c r="D10" s="0" t="n">
        <v>318.9</v>
      </c>
      <c r="E10" s="2" t="n">
        <f aca="false">IF(COUNT(C10:D10)=2,C10+D10,"")</f>
        <v>1510.8</v>
      </c>
      <c r="F10" s="2" t="n">
        <f aca="false">D10/(C10+D10)*Config!$B$2</f>
        <v>21.1080222398729</v>
      </c>
    </row>
    <row r="11" customFormat="false" ht="15" hidden="false" customHeight="false" outlineLevel="0" collapsed="false">
      <c r="A11" s="0" t="s">
        <v>10</v>
      </c>
      <c r="B11" s="1" t="n">
        <v>46087</v>
      </c>
      <c r="C11" s="0" t="n">
        <v>835.4</v>
      </c>
      <c r="D11" s="0" t="n">
        <v>211.2</v>
      </c>
      <c r="E11" s="2" t="n">
        <f aca="false">IF(COUNT(C11:D11)=2,C11+D11,"")</f>
        <v>1046.6</v>
      </c>
      <c r="F11" s="2" t="n">
        <f aca="false">D11/(C11+D11)*Config!$B$2</f>
        <v>20.1796292757501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</row>
    <row r="2" customFormat="false" ht="15" hidden="false" customHeight="false" outlineLevel="0" collapsed="false">
      <c r="A2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Prasad (Prasad-DataAnalyst)</dc:creator>
  <dc:description/>
  <dc:language>en-US</dc:language>
  <cp:lastModifiedBy>Prasad (Prasad-DataAnalyst)</cp:lastModifiedBy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